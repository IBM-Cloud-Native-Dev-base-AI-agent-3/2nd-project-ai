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C자료이관\업무관련 자료\00. 매입임대(250205)\06. 공고관리\01. 25년~ 공고\03. 26년 공고\02. 신혼1\2. 청약플러스 신청서류 및 당첨자 게시\"/>
    </mc:Choice>
  </mc:AlternateContent>
  <xr:revisionPtr revIDLastSave="0" documentId="13_ncr:1_{52D4B4DD-E813-466D-9426-E56E90389D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서구중구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6" i="3" l="1"/>
  <c r="F5" i="3"/>
  <c r="F4" i="3"/>
  <c r="G8" i="3"/>
  <c r="D8" i="3"/>
  <c r="C8" i="3"/>
</calcChain>
</file>

<file path=xl/sharedStrings.xml><?xml version="1.0" encoding="utf-8"?>
<sst xmlns="http://schemas.openxmlformats.org/spreadsheetml/2006/main" count="20" uniqueCount="18">
  <si>
    <t>지   구</t>
    <phoneticPr fontId="2" type="noConversion"/>
  </si>
  <si>
    <t>접수
결과</t>
    <phoneticPr fontId="1" type="noConversion"/>
  </si>
  <si>
    <t>서류제출
커트라인</t>
    <phoneticPr fontId="1" type="noConversion"/>
  </si>
  <si>
    <t>서류제출
대상자수</t>
    <phoneticPr fontId="1" type="noConversion"/>
  </si>
  <si>
    <t>주택군</t>
    <phoneticPr fontId="1" type="noConversion"/>
  </si>
  <si>
    <t>예비자수</t>
    <phoneticPr fontId="1" type="noConversion"/>
  </si>
  <si>
    <t>계</t>
    <phoneticPr fontId="1" type="noConversion"/>
  </si>
  <si>
    <t>매입다가구(대전중구)</t>
  </si>
  <si>
    <t>대전 중구(유천동)</t>
  </si>
  <si>
    <t>매입다가구(대전서구)</t>
  </si>
  <si>
    <t>대전 서구(가장동,관저동,변동,내동,도마동)</t>
  </si>
  <si>
    <t>전체</t>
    <phoneticPr fontId="1" type="noConversion"/>
  </si>
  <si>
    <t>3순위_6점(경합)</t>
    <phoneticPr fontId="1" type="noConversion"/>
  </si>
  <si>
    <t>대전 중구(사정동,호동,부사동,대흥동,문화동,석교동,산성동)</t>
    <phoneticPr fontId="1" type="noConversion"/>
  </si>
  <si>
    <t>공급
호수</t>
    <phoneticPr fontId="1" type="noConversion"/>
  </si>
  <si>
    <t>경쟁률
(%)</t>
    <phoneticPr fontId="1" type="noConversion"/>
  </si>
  <si>
    <r>
      <t>대전 중구 및 서구 신혼</t>
    </r>
    <r>
      <rPr>
        <sz val="20"/>
        <color theme="1"/>
        <rFont val="Calibri"/>
        <family val="1"/>
      </rPr>
      <t>·</t>
    </r>
    <r>
      <rPr>
        <sz val="20"/>
        <color theme="1"/>
        <rFont val="HY헤드라인M"/>
        <family val="1"/>
        <charset val="129"/>
      </rPr>
      <t xml:space="preserve">신생아 매입임대주택Ⅰ 서류제출 커트라인 안내 </t>
    </r>
    <phoneticPr fontId="1" type="noConversion"/>
  </si>
  <si>
    <t xml:space="preserve"> 공고일 : '26-03-26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</si>
</sst>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굴림체"/>
      <family val="2"/>
      <charset val="129"/>
    </font>
    <font>
      <sz val="22"/>
      <color theme="1"/>
      <name val="HY헤드라인M"/>
      <family val="1"/>
      <charset val="129"/>
    </font>
    <font>
      <b/>
      <sz val="14"/>
      <color theme="1"/>
      <name val="굴림체"/>
      <family val="3"/>
      <charset val="129"/>
    </font>
    <font>
      <b/>
      <sz val="15"/>
      <name val="굴림체"/>
      <family val="3"/>
      <charset val="129"/>
    </font>
    <font>
      <b/>
      <sz val="15"/>
      <color rgb="FF333333"/>
      <name val="굴림체"/>
      <family val="3"/>
      <charset val="129"/>
    </font>
    <font>
      <b/>
      <sz val="15"/>
      <color theme="1"/>
      <name val="굴림체"/>
      <family val="3"/>
      <charset val="129"/>
    </font>
    <font>
      <sz val="15"/>
      <color theme="1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3"/>
      <color theme="1"/>
      <name val="굴림체"/>
      <family val="3"/>
      <charset val="129"/>
    </font>
    <font>
      <sz val="20"/>
      <color theme="1"/>
      <name val="HY헤드라인M"/>
      <family val="1"/>
      <charset val="129"/>
    </font>
    <font>
      <sz val="20"/>
      <color theme="1"/>
      <name val="Calibri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2" borderId="0" xfId="0" applyFill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20" fontId="0" fillId="0" borderId="0" xfId="0" applyNumberFormat="1" applyBorder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49" fontId="6" fillId="4" borderId="9" xfId="0" applyNumberFormat="1" applyFont="1" applyFill="1" applyBorder="1" applyAlignment="1">
      <alignment horizontal="center" vertical="center" wrapText="1"/>
    </xf>
    <xf numFmtId="49" fontId="6" fillId="4" borderId="9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" fontId="7" fillId="2" borderId="4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 wrapText="1"/>
    </xf>
    <xf numFmtId="49" fontId="6" fillId="4" borderId="2" xfId="0" applyNumberFormat="1" applyFont="1" applyFill="1" applyBorder="1" applyAlignment="1">
      <alignment horizontal="left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left" vertical="center" wrapText="1"/>
    </xf>
    <xf numFmtId="2" fontId="7" fillId="2" borderId="4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5" fillId="3" borderId="5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vertical="center"/>
    </xf>
    <xf numFmtId="0" fontId="11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H10"/>
  <sheetViews>
    <sheetView tabSelected="1" workbookViewId="0">
      <pane ySplit="3" topLeftCell="A4" activePane="bottomLeft" state="frozen"/>
      <selection pane="bottomLeft" activeCell="A3" sqref="A3"/>
    </sheetView>
  </sheetViews>
  <sheetFormatPr defaultColWidth="14.125" defaultRowHeight="16.5" x14ac:dyDescent="0.3"/>
  <cols>
    <col min="1" max="1" width="29" customWidth="1"/>
    <col min="2" max="2" width="77.125" style="11" bestFit="1" customWidth="1"/>
    <col min="3" max="3" width="12.5" style="9" bestFit="1" customWidth="1"/>
    <col min="4" max="4" width="12.5" style="11" bestFit="1" customWidth="1"/>
    <col min="5" max="5" width="8.875" style="9" customWidth="1"/>
    <col min="6" max="6" width="10.875" style="9" customWidth="1"/>
    <col min="7" max="7" width="12.5" bestFit="1" customWidth="1"/>
    <col min="8" max="8" width="21.625" style="8" bestFit="1" customWidth="1"/>
    <col min="9" max="9" width="14.125" customWidth="1"/>
  </cols>
  <sheetData>
    <row r="1" spans="1:8" ht="51" customHeight="1" x14ac:dyDescent="0.3">
      <c r="A1" s="35" t="s">
        <v>16</v>
      </c>
      <c r="B1" s="35"/>
      <c r="C1" s="35"/>
      <c r="D1" s="35"/>
      <c r="E1" s="35"/>
      <c r="F1" s="35"/>
      <c r="G1" s="3"/>
    </row>
    <row r="2" spans="1:8" s="5" customFormat="1" ht="30.75" customHeight="1" thickBot="1" x14ac:dyDescent="0.35">
      <c r="A2" s="34" t="s">
        <v>17</v>
      </c>
      <c r="B2" s="2"/>
      <c r="C2" s="4"/>
      <c r="D2" s="4"/>
      <c r="E2" s="4"/>
      <c r="F2" s="4"/>
      <c r="G2" s="6"/>
      <c r="H2" s="7"/>
    </row>
    <row r="3" spans="1:8" s="32" customFormat="1" ht="46.5" customHeight="1" x14ac:dyDescent="0.3">
      <c r="A3" s="13" t="s">
        <v>0</v>
      </c>
      <c r="B3" s="14" t="s">
        <v>4</v>
      </c>
      <c r="C3" s="14" t="s">
        <v>14</v>
      </c>
      <c r="D3" s="15" t="s">
        <v>5</v>
      </c>
      <c r="E3" s="14" t="s">
        <v>1</v>
      </c>
      <c r="F3" s="16" t="s">
        <v>15</v>
      </c>
      <c r="G3" s="17" t="s">
        <v>3</v>
      </c>
      <c r="H3" s="33" t="s">
        <v>2</v>
      </c>
    </row>
    <row r="4" spans="1:8" s="1" customFormat="1" ht="57.75" customHeight="1" x14ac:dyDescent="0.3">
      <c r="A4" s="18" t="s">
        <v>7</v>
      </c>
      <c r="B4" s="19" t="s">
        <v>13</v>
      </c>
      <c r="C4" s="20">
        <v>16</v>
      </c>
      <c r="D4" s="20">
        <v>32</v>
      </c>
      <c r="E4" s="21">
        <v>22</v>
      </c>
      <c r="F4" s="22">
        <f>E4/D4*100</f>
        <v>68.75</v>
      </c>
      <c r="G4" s="23">
        <v>22</v>
      </c>
      <c r="H4" s="24" t="s">
        <v>11</v>
      </c>
    </row>
    <row r="5" spans="1:8" s="1" customFormat="1" ht="57.75" customHeight="1" x14ac:dyDescent="0.3">
      <c r="A5" s="25" t="s">
        <v>7</v>
      </c>
      <c r="B5" s="26" t="s">
        <v>8</v>
      </c>
      <c r="C5" s="20">
        <v>13</v>
      </c>
      <c r="D5" s="20">
        <v>26</v>
      </c>
      <c r="E5" s="21">
        <v>14</v>
      </c>
      <c r="F5" s="22">
        <f>E5/D5*100</f>
        <v>53.846153846153847</v>
      </c>
      <c r="G5" s="23">
        <v>14</v>
      </c>
      <c r="H5" s="24" t="s">
        <v>11</v>
      </c>
    </row>
    <row r="6" spans="1:8" s="1" customFormat="1" ht="57.75" customHeight="1" x14ac:dyDescent="0.3">
      <c r="A6" s="25" t="s">
        <v>9</v>
      </c>
      <c r="B6" s="26" t="s">
        <v>10</v>
      </c>
      <c r="C6" s="20">
        <v>9</v>
      </c>
      <c r="D6" s="20">
        <v>18</v>
      </c>
      <c r="E6" s="21">
        <v>45</v>
      </c>
      <c r="F6" s="22">
        <f>E6/D6*100</f>
        <v>250</v>
      </c>
      <c r="G6" s="23">
        <v>18</v>
      </c>
      <c r="H6" s="24" t="s">
        <v>12</v>
      </c>
    </row>
    <row r="7" spans="1:8" s="1" customFormat="1" ht="57.75" customHeight="1" x14ac:dyDescent="0.3">
      <c r="A7" s="27"/>
      <c r="B7" s="28"/>
      <c r="C7" s="20"/>
      <c r="D7" s="20"/>
      <c r="E7" s="21"/>
      <c r="F7" s="29"/>
      <c r="G7" s="23"/>
      <c r="H7" s="24"/>
    </row>
    <row r="8" spans="1:8" s="1" customFormat="1" ht="49.5" customHeight="1" thickBot="1" x14ac:dyDescent="0.35">
      <c r="A8" s="20"/>
      <c r="B8" s="20" t="s">
        <v>6</v>
      </c>
      <c r="C8" s="20">
        <f>SUM(C4:C7)</f>
        <v>38</v>
      </c>
      <c r="D8" s="20">
        <f>SUM(D4:D7)</f>
        <v>76</v>
      </c>
      <c r="E8" s="21"/>
      <c r="F8" s="29"/>
      <c r="G8" s="30">
        <f>SUM(G4:G7)</f>
        <v>54</v>
      </c>
      <c r="H8" s="31"/>
    </row>
    <row r="10" spans="1:8" x14ac:dyDescent="0.3">
      <c r="A10" s="12"/>
      <c r="B10" s="10"/>
      <c r="C10" s="11"/>
    </row>
  </sheetData>
  <mergeCells count="1">
    <mergeCell ref="A1:F1"/>
  </mergeCells>
  <phoneticPr fontId="1" type="noConversion"/>
  <printOptions horizontalCentered="1"/>
  <pageMargins left="0.25" right="0.25" top="0.75" bottom="0.75" header="0.3" footer="0.3"/>
  <pageSetup paperSize="9" scale="4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서구중구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이수민</cp:lastModifiedBy>
  <cp:lastPrinted>2026-04-10T01:53:04Z</cp:lastPrinted>
  <dcterms:created xsi:type="dcterms:W3CDTF">2021-03-23T01:47:25Z</dcterms:created>
  <dcterms:modified xsi:type="dcterms:W3CDTF">2026-04-10T05:05:38Z</dcterms:modified>
</cp:coreProperties>
</file>